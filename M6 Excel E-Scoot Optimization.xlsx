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itadke/Documents/My Documents/MS Docs/Syllabus MSBA/Q2/SCM 518 - Analytical Decision Modelling /Project/"/>
    </mc:Choice>
  </mc:AlternateContent>
  <xr:revisionPtr revIDLastSave="0" documentId="8_{E956E7E1-8A1E-F14F-838B-B8599B190754}" xr6:coauthVersionLast="47" xr6:coauthVersionMax="47" xr10:uidLastSave="{00000000-0000-0000-0000-000000000000}"/>
  <bookViews>
    <workbookView xWindow="0" yWindow="780" windowWidth="34200" windowHeight="20120" activeTab="1" xr2:uid="{00000000-000D-0000-FFFF-FFFF00000000}"/>
  </bookViews>
  <sheets>
    <sheet name="Answer Report 1" sheetId="5" r:id="rId1"/>
    <sheet name="General Info" sheetId="1" r:id="rId2"/>
    <sheet name="General Info_STS" sheetId="2" state="veryHidden" r:id="rId3"/>
  </sheets>
  <definedNames>
    <definedName name="solver_adj" localSheetId="1" hidden="1">'General Info'!$F$5:$G$12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'General Info'!$B$28</definedName>
    <definedName name="solver_lhs2" localSheetId="1" hidden="1">'General Info'!$D$27</definedName>
    <definedName name="solver_lhs3" localSheetId="1" hidden="1">'General Info'!$F$5:$F$12</definedName>
    <definedName name="solver_lhs4" localSheetId="1" hidden="1">'General Info'!$G$5:$G$12</definedName>
    <definedName name="solver_lhs5" localSheetId="1" hidden="1">'General Info'!$G$5:$G$12</definedName>
    <definedName name="solver_lhs6" localSheetId="1" hidden="1">'General Info'!$K$16:$K$21</definedName>
    <definedName name="solver_lhs7" localSheetId="1" hidden="1">'General Info'!$K$16:$K$21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7</definedName>
    <definedName name="solver_nwt" localSheetId="1" hidden="1">1</definedName>
    <definedName name="solver_opt" localSheetId="1" hidden="1">'General Info'!$B$28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5</definedName>
    <definedName name="solver_rel4" localSheetId="1" hidden="1">1</definedName>
    <definedName name="solver_rel5" localSheetId="1" hidden="1">4</definedName>
    <definedName name="solver_rel6" localSheetId="1" hidden="1">1</definedName>
    <definedName name="solver_rel7" localSheetId="1" hidden="1">3</definedName>
    <definedName name="solver_rhs1" localSheetId="1" hidden="1">'General Info'!$B$1</definedName>
    <definedName name="solver_rhs2" localSheetId="1" hidden="1">'General Info'!$D$29</definedName>
    <definedName name="solver_rhs3" localSheetId="1" hidden="1">"binary"</definedName>
    <definedName name="solver_rhs4" localSheetId="1" hidden="1">'General Info'!$H$5:$H$12</definedName>
    <definedName name="solver_rhs5" localSheetId="1" hidden="1">"integer"</definedName>
    <definedName name="solver_rhs6" localSheetId="1" hidden="1">'General Info'!$M$16:$M$21</definedName>
    <definedName name="solver_rhs7" localSheetId="1" hidden="1">'General Info'!$M$5:$M$10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K21" i="1"/>
  <c r="K20" i="1"/>
  <c r="K19" i="1"/>
  <c r="K18" i="1"/>
  <c r="K17" i="1"/>
  <c r="K16" i="1"/>
  <c r="D29" i="1"/>
  <c r="H6" i="1"/>
  <c r="H7" i="1"/>
  <c r="H8" i="1"/>
  <c r="H9" i="1"/>
  <c r="H10" i="1"/>
  <c r="H11" i="1"/>
  <c r="H12" i="1"/>
  <c r="H5" i="1"/>
  <c r="B28" i="1"/>
</calcChain>
</file>

<file path=xl/sharedStrings.xml><?xml version="1.0" encoding="utf-8"?>
<sst xmlns="http://schemas.openxmlformats.org/spreadsheetml/2006/main" count="249" uniqueCount="164">
  <si>
    <t>Total Budget ($)</t>
  </si>
  <si>
    <t>Location Code</t>
  </si>
  <si>
    <t>Location Name</t>
  </si>
  <si>
    <t>Fixed Cost ($)</t>
  </si>
  <si>
    <t>Variable Cost/Charger ($)</t>
  </si>
  <si>
    <t>Max Chargers</t>
  </si>
  <si>
    <t>L1</t>
  </si>
  <si>
    <t>L2</t>
  </si>
  <si>
    <t>L3</t>
  </si>
  <si>
    <t>L4</t>
  </si>
  <si>
    <t>L5</t>
  </si>
  <si>
    <t>L6</t>
  </si>
  <si>
    <t>L7</t>
  </si>
  <si>
    <t>L8</t>
  </si>
  <si>
    <t>Zone Code</t>
  </si>
  <si>
    <t>Zone Name</t>
  </si>
  <si>
    <t>Demand</t>
  </si>
  <si>
    <t>Z1</t>
  </si>
  <si>
    <t>Z2</t>
  </si>
  <si>
    <t>Z3</t>
  </si>
  <si>
    <t>Z4</t>
  </si>
  <si>
    <t>Z5</t>
  </si>
  <si>
    <t>Z6</t>
  </si>
  <si>
    <t>i</t>
  </si>
  <si>
    <t>j</t>
  </si>
  <si>
    <t>fi</t>
  </si>
  <si>
    <t>vi</t>
  </si>
  <si>
    <t>Mi</t>
  </si>
  <si>
    <t>dj</t>
  </si>
  <si>
    <t xml:space="preserve">No of chargers installed </t>
  </si>
  <si>
    <t>Station Open (Binary)</t>
  </si>
  <si>
    <t>&gt;=</t>
  </si>
  <si>
    <t>Constraint</t>
  </si>
  <si>
    <t>Hayden Library</t>
  </si>
  <si>
    <t>Hassayampa Dormitory</t>
  </si>
  <si>
    <t>Sun Devil Fitness Center</t>
  </si>
  <si>
    <t>MU Food Court</t>
  </si>
  <si>
    <t>Palo Verde Dormitory</t>
  </si>
  <si>
    <t>Engineering Center</t>
  </si>
  <si>
    <t>Health Services</t>
  </si>
  <si>
    <t>W P Carey Business School</t>
  </si>
  <si>
    <t>North Campus Housing</t>
  </si>
  <si>
    <t xml:space="preserve">South Campus Housing </t>
  </si>
  <si>
    <t>Academic Core</t>
  </si>
  <si>
    <t>Athletic Facilities</t>
  </si>
  <si>
    <t>Memorial Union/Central</t>
  </si>
  <si>
    <t>Business District</t>
  </si>
  <si>
    <t>North Campus Housing (Z1)</t>
  </si>
  <si>
    <t>South Campus Housing (Z2)</t>
  </si>
  <si>
    <t>Academic Core (Z3)</t>
  </si>
  <si>
    <t>Athletic Facilites (Z4)</t>
  </si>
  <si>
    <t>Memorial Union/Central (Z5)</t>
  </si>
  <si>
    <t>Business District (Z6)</t>
  </si>
  <si>
    <t>&lt;=</t>
  </si>
  <si>
    <t>yi</t>
  </si>
  <si>
    <t>xi</t>
  </si>
  <si>
    <t>aij*xi</t>
  </si>
  <si>
    <t>Mi*xi</t>
  </si>
  <si>
    <t>0.7*(Z1+Z2)</t>
  </si>
  <si>
    <t>L2+L5</t>
  </si>
  <si>
    <t>Total Installation Cost ($)</t>
  </si>
  <si>
    <t>Microsoft Excel 16.96 Answer Report</t>
  </si>
  <si>
    <t>Worksheet: [M6 Excel E-scoot Charging Optimization.xlsx]General Info</t>
  </si>
  <si>
    <t>Result: Solver found an integer solution within tolerance.  All constraints are satisfied.</t>
  </si>
  <si>
    <t>Solver Engine</t>
  </si>
  <si>
    <t>Engine: GRG Nonlinear</t>
  </si>
  <si>
    <t>Iterations: 2 Subproblems: 76</t>
  </si>
  <si>
    <t>Solver Options</t>
  </si>
  <si>
    <t>Max Time Unlimited, Iterations Unlimited, Precision 0.000001</t>
  </si>
  <si>
    <t>Convergence 0.0001, Population Size 100, Random Seed 0, Derivatives Forward, Require Bounds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</si>
  <si>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</si>
  <si>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</si>
  <si>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</si>
  <si>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</si>
  <si>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</si>
  <si>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</si>
  <si>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</si>
  <si>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</si>
  <si>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</si>
  <si>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</si>
  <si>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</si>
  <si>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</si>
  <si>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</si>
  <si>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$B$28</t>
  </si>
  <si>
    <t>Total Installation Cost ($) L1</t>
  </si>
  <si>
    <t>$F$5</t>
  </si>
  <si>
    <t>Hayden Library Station Open (Binary)</t>
  </si>
  <si>
    <t>$G$5</t>
  </si>
  <si>
    <t xml:space="preserve">Hayden Library No of chargers installed </t>
  </si>
  <si>
    <t>$F$6</t>
  </si>
  <si>
    <t>Hassayampa Dormitory Station Open (Binary)</t>
  </si>
  <si>
    <t>$G$6</t>
  </si>
  <si>
    <t xml:space="preserve">Hassayampa Dormitory No of chargers installed </t>
  </si>
  <si>
    <t>$F$7</t>
  </si>
  <si>
    <t>Sun Devil Fitness Center Station Open (Binary)</t>
  </si>
  <si>
    <t>$G$7</t>
  </si>
  <si>
    <t xml:space="preserve">Sun Devil Fitness Center No of chargers installed </t>
  </si>
  <si>
    <t>$F$8</t>
  </si>
  <si>
    <t>MU Food Court Station Open (Binary)</t>
  </si>
  <si>
    <t>$G$8</t>
  </si>
  <si>
    <t xml:space="preserve">MU Food Court No of chargers installed </t>
  </si>
  <si>
    <t>$F$9</t>
  </si>
  <si>
    <t>Palo Verde Dormitory Station Open (Binary)</t>
  </si>
  <si>
    <t>$G$9</t>
  </si>
  <si>
    <t xml:space="preserve">Palo Verde Dormitory No of chargers installed </t>
  </si>
  <si>
    <t>$F$10</t>
  </si>
  <si>
    <t>Engineering Center Station Open (Binary)</t>
  </si>
  <si>
    <t>$G$10</t>
  </si>
  <si>
    <t xml:space="preserve">Engineering Center No of chargers installed </t>
  </si>
  <si>
    <t>$F$11</t>
  </si>
  <si>
    <t>Health Services Station Open (Binary)</t>
  </si>
  <si>
    <t>$G$11</t>
  </si>
  <si>
    <t xml:space="preserve">Health Services No of chargers installed </t>
  </si>
  <si>
    <t>$F$12</t>
  </si>
  <si>
    <t>W P Carey Business School Station Open (Binary)</t>
  </si>
  <si>
    <t>$G$12</t>
  </si>
  <si>
    <t xml:space="preserve">W P Carey Business School No of chargers installed </t>
  </si>
  <si>
    <t>$B$28&lt;=$B$1</t>
  </si>
  <si>
    <t>Not Binding</t>
  </si>
  <si>
    <t>$D$27</t>
  </si>
  <si>
    <t>L2+L5 L3</t>
  </si>
  <si>
    <t>$D$27&gt;=$D$29</t>
  </si>
  <si>
    <t>$G$5&lt;=$H$5</t>
  </si>
  <si>
    <t>Binding</t>
  </si>
  <si>
    <t>$G$6&lt;=$H$6</t>
  </si>
  <si>
    <t>$G$7&lt;=$H$7</t>
  </si>
  <si>
    <t>$G$8&lt;=$H$8</t>
  </si>
  <si>
    <t>$G$9&lt;=$H$9</t>
  </si>
  <si>
    <t>$G$10&lt;=$H$10</t>
  </si>
  <si>
    <t>$G$11&lt;=$H$11</t>
  </si>
  <si>
    <t>$G$12&lt;=$H$12</t>
  </si>
  <si>
    <t>$K$16</t>
  </si>
  <si>
    <t>North Campus Housing (Z1) aij*xi</t>
  </si>
  <si>
    <t>$K$16&lt;=$M$16</t>
  </si>
  <si>
    <t>$K$17</t>
  </si>
  <si>
    <t>South Campus Housing (Z2) aij*xi</t>
  </si>
  <si>
    <t>$K$17&lt;=$M$17</t>
  </si>
  <si>
    <t>$K$18</t>
  </si>
  <si>
    <t>Academic Core (Z3) aij*xi</t>
  </si>
  <si>
    <t>$K$18&lt;=$M$18</t>
  </si>
  <si>
    <t>$K$19</t>
  </si>
  <si>
    <t>Athletic Facilites (Z4) aij*xi</t>
  </si>
  <si>
    <t>$K$19&lt;=$M$19</t>
  </si>
  <si>
    <t>$K$20</t>
  </si>
  <si>
    <t>Memorial Union/Central (Z5) aij*xi</t>
  </si>
  <si>
    <t>$K$20&lt;=$M$20</t>
  </si>
  <si>
    <t>$K$21</t>
  </si>
  <si>
    <t>Business District (Z6) aij*xi</t>
  </si>
  <si>
    <t>$K$21&lt;=$M$21</t>
  </si>
  <si>
    <t>$K$16&gt;=$M$5</t>
  </si>
  <si>
    <t>$K$17&gt;=$M$6</t>
  </si>
  <si>
    <t>$K$18&gt;=$M$7</t>
  </si>
  <si>
    <t>$K$19&gt;=$M$8</t>
  </si>
  <si>
    <t>$K$20&gt;=$M$9</t>
  </si>
  <si>
    <t>$K$21&gt;=$M$10</t>
  </si>
  <si>
    <t>$F$5:$F$12=Binary</t>
  </si>
  <si>
    <t>Binary</t>
  </si>
  <si>
    <t>$G$5:$G$12=Integer</t>
  </si>
  <si>
    <t>$F$5:$G$12</t>
  </si>
  <si>
    <t>$G$5:$G$12 &lt;= $H$5:$H$12</t>
  </si>
  <si>
    <t>$K$16:$K$21 &lt;= $M$16:$M$21</t>
  </si>
  <si>
    <t>$K$16:$K$21 &gt;= $M$5:$M$10</t>
  </si>
  <si>
    <t>Report Created: 5/3/25 11:46:51</t>
  </si>
  <si>
    <t>Solution Time: 3625.45 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</si>
</sst>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64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3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4" xfId="0" applyFill="1" applyBorder="1" applyAlignment="1"/>
    <xf numFmtId="0" fontId="0" fillId="0" borderId="3" xfId="0" applyNumberFormat="1" applyFill="1" applyBorder="1" applyAlignment="1"/>
    <xf numFmtId="0" fontId="0" fillId="0" borderId="4" xfId="0" applyNumberFormat="1" applyFill="1" applyBorder="1" applyAlignment="1"/>
    <xf numFmtId="0" fontId="0" fillId="0" borderId="0" xfId="0" applyNumberForma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4654-14C8-E742-AC23-1C239A478EAC}">
  <dimension ref="A1:G72"/>
  <sheetViews>
    <sheetView showGridLines="0" workbookViewId="0">
      <selection activeCell="E85" sqref="E85"/>
    </sheetView>
  </sheetViews>
  <sheetFormatPr baseColWidth="10" defaultRowHeight="15" outlineLevelRow="1" x14ac:dyDescent="0.2"/>
  <cols>
    <col min="1" max="1" width="2.33203125" customWidth="1"/>
    <col min="2" max="2" width="17.33203125" bestFit="1" customWidth="1"/>
    <col min="3" max="3" width="39.83203125" bestFit="1" customWidth="1"/>
    <col min="4" max="4" width="12" bestFit="1" customWidth="1"/>
    <col min="5" max="5" width="13.33203125" bestFit="1" customWidth="1"/>
    <col min="6" max="6" width="10.1640625" bestFit="1" customWidth="1"/>
    <col min="7" max="7" width="5.1640625" bestFit="1" customWidth="1"/>
  </cols>
  <sheetData>
    <row r="1" spans="1:5" x14ac:dyDescent="0.2">
      <c r="A1" s="24" t="s">
        <v>61</v>
      </c>
    </row>
    <row r="2" spans="1:5" x14ac:dyDescent="0.2">
      <c r="A2" s="24" t="s">
        <v>62</v>
      </c>
    </row>
    <row r="3" spans="1:5" x14ac:dyDescent="0.2">
      <c r="A3" s="24" t="s">
        <v>162</v>
      </c>
    </row>
    <row r="4" spans="1:5" x14ac:dyDescent="0.2">
      <c r="A4" s="24" t="s">
        <v>63</v>
      </c>
    </row>
    <row r="5" spans="1:5" x14ac:dyDescent="0.2">
      <c r="A5" s="24" t="s">
        <v>64</v>
      </c>
    </row>
    <row r="6" spans="1:5" hidden="1" outlineLevel="1" x14ac:dyDescent="0.2">
      <c r="A6" s="24"/>
      <c r="B6" t="s">
        <v>65</v>
      </c>
    </row>
    <row r="7" spans="1:5" hidden="1" outlineLevel="1" x14ac:dyDescent="0.2">
      <c r="A7" s="24"/>
      <c r="B7" t="s">
        <v>163</v>
      </c>
    </row>
    <row r="8" spans="1:5" hidden="1" outlineLevel="1" x14ac:dyDescent="0.2">
      <c r="A8" s="24"/>
      <c r="B8" t="s">
        <v>66</v>
      </c>
    </row>
    <row r="9" spans="1:5" collapsed="1" x14ac:dyDescent="0.2">
      <c r="A9" s="24" t="s">
        <v>67</v>
      </c>
    </row>
    <row r="10" spans="1:5" hidden="1" outlineLevel="1" x14ac:dyDescent="0.2">
      <c r="B10" t="s">
        <v>68</v>
      </c>
    </row>
    <row r="11" spans="1:5" hidden="1" outlineLevel="1" x14ac:dyDescent="0.2">
      <c r="B11" t="s">
        <v>69</v>
      </c>
    </row>
    <row r="12" spans="1:5" hidden="1" outlineLevel="1" x14ac:dyDescent="0.2">
      <c r="B12" t="s">
        <v>70</v>
      </c>
    </row>
    <row r="13" spans="1:5" collapsed="1" x14ac:dyDescent="0.2"/>
    <row r="14" spans="1:5" ht="16" thickBot="1" x14ac:dyDescent="0.25">
      <c r="A14" t="s">
        <v>71</v>
      </c>
    </row>
    <row r="15" spans="1:5" ht="16" thickBot="1" x14ac:dyDescent="0.25">
      <c r="B15" s="26" t="s">
        <v>72</v>
      </c>
      <c r="C15" s="26" t="s">
        <v>73</v>
      </c>
      <c r="D15" s="26" t="s">
        <v>74</v>
      </c>
      <c r="E15" s="26" t="s">
        <v>75</v>
      </c>
    </row>
    <row r="16" spans="1:5" ht="16" thickBot="1" x14ac:dyDescent="0.25">
      <c r="B16" s="25" t="s">
        <v>83</v>
      </c>
      <c r="C16" s="25" t="s">
        <v>84</v>
      </c>
      <c r="D16" s="29">
        <v>28350</v>
      </c>
      <c r="E16" s="29">
        <v>28350</v>
      </c>
    </row>
    <row r="19" spans="1:6" ht="16" thickBot="1" x14ac:dyDescent="0.25">
      <c r="A19" t="s">
        <v>76</v>
      </c>
    </row>
    <row r="20" spans="1:6" ht="16" thickBot="1" x14ac:dyDescent="0.25">
      <c r="B20" s="26" t="s">
        <v>72</v>
      </c>
      <c r="C20" s="26" t="s">
        <v>73</v>
      </c>
      <c r="D20" s="26" t="s">
        <v>74</v>
      </c>
      <c r="E20" s="26" t="s">
        <v>75</v>
      </c>
      <c r="F20" s="26" t="s">
        <v>77</v>
      </c>
    </row>
    <row r="21" spans="1:6" x14ac:dyDescent="0.2">
      <c r="B21" s="33" t="s">
        <v>158</v>
      </c>
      <c r="C21" s="32"/>
      <c r="D21" s="32"/>
      <c r="E21" s="32"/>
      <c r="F21" s="32"/>
    </row>
    <row r="22" spans="1:6" hidden="1" outlineLevel="1" x14ac:dyDescent="0.2">
      <c r="B22" s="28" t="s">
        <v>85</v>
      </c>
      <c r="C22" s="28" t="s">
        <v>86</v>
      </c>
      <c r="D22" s="30">
        <v>0</v>
      </c>
      <c r="E22" s="30">
        <v>0</v>
      </c>
      <c r="F22" s="28" t="s">
        <v>156</v>
      </c>
    </row>
    <row r="23" spans="1:6" hidden="1" outlineLevel="1" x14ac:dyDescent="0.2">
      <c r="B23" s="28" t="s">
        <v>87</v>
      </c>
      <c r="C23" s="28" t="s">
        <v>88</v>
      </c>
      <c r="D23" s="30">
        <v>0</v>
      </c>
      <c r="E23" s="30">
        <v>0</v>
      </c>
      <c r="F23" s="28" t="s">
        <v>77</v>
      </c>
    </row>
    <row r="24" spans="1:6" hidden="1" outlineLevel="1" x14ac:dyDescent="0.2">
      <c r="B24" s="28" t="s">
        <v>89</v>
      </c>
      <c r="C24" s="28" t="s">
        <v>90</v>
      </c>
      <c r="D24" s="30">
        <v>1</v>
      </c>
      <c r="E24" s="30">
        <v>1</v>
      </c>
      <c r="F24" s="28" t="s">
        <v>156</v>
      </c>
    </row>
    <row r="25" spans="1:6" hidden="1" outlineLevel="1" x14ac:dyDescent="0.2">
      <c r="B25" s="28" t="s">
        <v>91</v>
      </c>
      <c r="C25" s="28" t="s">
        <v>92</v>
      </c>
      <c r="D25" s="30">
        <v>9</v>
      </c>
      <c r="E25" s="30">
        <v>9</v>
      </c>
      <c r="F25" s="28" t="s">
        <v>77</v>
      </c>
    </row>
    <row r="26" spans="1:6" hidden="1" outlineLevel="1" x14ac:dyDescent="0.2">
      <c r="B26" s="28" t="s">
        <v>93</v>
      </c>
      <c r="C26" s="28" t="s">
        <v>94</v>
      </c>
      <c r="D26" s="30">
        <v>1</v>
      </c>
      <c r="E26" s="30">
        <v>1</v>
      </c>
      <c r="F26" s="28" t="s">
        <v>156</v>
      </c>
    </row>
    <row r="27" spans="1:6" hidden="1" outlineLevel="1" x14ac:dyDescent="0.2">
      <c r="B27" s="28" t="s">
        <v>95</v>
      </c>
      <c r="C27" s="28" t="s">
        <v>96</v>
      </c>
      <c r="D27" s="30">
        <v>6</v>
      </c>
      <c r="E27" s="30">
        <v>6</v>
      </c>
      <c r="F27" s="28" t="s">
        <v>77</v>
      </c>
    </row>
    <row r="28" spans="1:6" hidden="1" outlineLevel="1" x14ac:dyDescent="0.2">
      <c r="B28" s="28" t="s">
        <v>97</v>
      </c>
      <c r="C28" s="28" t="s">
        <v>98</v>
      </c>
      <c r="D28" s="30">
        <v>0</v>
      </c>
      <c r="E28" s="30">
        <v>0</v>
      </c>
      <c r="F28" s="28" t="s">
        <v>156</v>
      </c>
    </row>
    <row r="29" spans="1:6" hidden="1" outlineLevel="1" x14ac:dyDescent="0.2">
      <c r="B29" s="28" t="s">
        <v>99</v>
      </c>
      <c r="C29" s="28" t="s">
        <v>100</v>
      </c>
      <c r="D29" s="30">
        <v>0</v>
      </c>
      <c r="E29" s="30">
        <v>0</v>
      </c>
      <c r="F29" s="28" t="s">
        <v>77</v>
      </c>
    </row>
    <row r="30" spans="1:6" hidden="1" outlineLevel="1" x14ac:dyDescent="0.2">
      <c r="B30" s="28" t="s">
        <v>101</v>
      </c>
      <c r="C30" s="28" t="s">
        <v>102</v>
      </c>
      <c r="D30" s="30">
        <v>1</v>
      </c>
      <c r="E30" s="30">
        <v>1</v>
      </c>
      <c r="F30" s="28" t="s">
        <v>156</v>
      </c>
    </row>
    <row r="31" spans="1:6" hidden="1" outlineLevel="1" x14ac:dyDescent="0.2">
      <c r="B31" s="28" t="s">
        <v>103</v>
      </c>
      <c r="C31" s="28" t="s">
        <v>104</v>
      </c>
      <c r="D31" s="30">
        <v>2</v>
      </c>
      <c r="E31" s="30">
        <v>2</v>
      </c>
      <c r="F31" s="28" t="s">
        <v>77</v>
      </c>
    </row>
    <row r="32" spans="1:6" hidden="1" outlineLevel="1" x14ac:dyDescent="0.2">
      <c r="B32" s="28" t="s">
        <v>105</v>
      </c>
      <c r="C32" s="28" t="s">
        <v>106</v>
      </c>
      <c r="D32" s="30">
        <v>1</v>
      </c>
      <c r="E32" s="30">
        <v>1</v>
      </c>
      <c r="F32" s="28" t="s">
        <v>156</v>
      </c>
    </row>
    <row r="33" spans="1:7" hidden="1" outlineLevel="1" x14ac:dyDescent="0.2">
      <c r="B33" s="28" t="s">
        <v>107</v>
      </c>
      <c r="C33" s="28" t="s">
        <v>108</v>
      </c>
      <c r="D33" s="30">
        <v>7</v>
      </c>
      <c r="E33" s="30">
        <v>7</v>
      </c>
      <c r="F33" s="28" t="s">
        <v>77</v>
      </c>
    </row>
    <row r="34" spans="1:7" hidden="1" outlineLevel="1" x14ac:dyDescent="0.2">
      <c r="B34" s="28" t="s">
        <v>109</v>
      </c>
      <c r="C34" s="28" t="s">
        <v>110</v>
      </c>
      <c r="D34" s="30">
        <v>0</v>
      </c>
      <c r="E34" s="30">
        <v>0</v>
      </c>
      <c r="F34" s="28" t="s">
        <v>156</v>
      </c>
    </row>
    <row r="35" spans="1:7" hidden="1" outlineLevel="1" x14ac:dyDescent="0.2">
      <c r="B35" s="28" t="s">
        <v>111</v>
      </c>
      <c r="C35" s="28" t="s">
        <v>112</v>
      </c>
      <c r="D35" s="30">
        <v>0</v>
      </c>
      <c r="E35" s="30">
        <v>0</v>
      </c>
      <c r="F35" s="28" t="s">
        <v>77</v>
      </c>
    </row>
    <row r="36" spans="1:7" hidden="1" outlineLevel="1" x14ac:dyDescent="0.2">
      <c r="B36" s="28" t="s">
        <v>113</v>
      </c>
      <c r="C36" s="28" t="s">
        <v>114</v>
      </c>
      <c r="D36" s="30">
        <v>0</v>
      </c>
      <c r="E36" s="30">
        <v>0</v>
      </c>
      <c r="F36" s="28" t="s">
        <v>156</v>
      </c>
    </row>
    <row r="37" spans="1:7" ht="16" hidden="1" outlineLevel="1" thickBot="1" x14ac:dyDescent="0.25">
      <c r="B37" s="25" t="s">
        <v>115</v>
      </c>
      <c r="C37" s="25" t="s">
        <v>116</v>
      </c>
      <c r="D37" s="29">
        <v>0</v>
      </c>
      <c r="E37" s="29">
        <v>0</v>
      </c>
      <c r="F37" s="25" t="s">
        <v>77</v>
      </c>
    </row>
    <row r="38" spans="1:7" collapsed="1" x14ac:dyDescent="0.2">
      <c r="B38" s="27"/>
      <c r="C38" s="27"/>
      <c r="D38" s="31"/>
      <c r="E38" s="31"/>
      <c r="F38" s="27"/>
    </row>
    <row r="41" spans="1:7" ht="16" thickBot="1" x14ac:dyDescent="0.25">
      <c r="A41" t="s">
        <v>78</v>
      </c>
    </row>
    <row r="42" spans="1:7" ht="16" thickBot="1" x14ac:dyDescent="0.25">
      <c r="B42" s="26" t="s">
        <v>72</v>
      </c>
      <c r="C42" s="26" t="s">
        <v>73</v>
      </c>
      <c r="D42" s="26" t="s">
        <v>79</v>
      </c>
      <c r="E42" s="26" t="s">
        <v>80</v>
      </c>
      <c r="F42" s="26" t="s">
        <v>81</v>
      </c>
      <c r="G42" s="26" t="s">
        <v>82</v>
      </c>
    </row>
    <row r="43" spans="1:7" x14ac:dyDescent="0.2">
      <c r="B43" s="28" t="s">
        <v>83</v>
      </c>
      <c r="C43" s="28" t="s">
        <v>84</v>
      </c>
      <c r="D43" s="30">
        <v>28350</v>
      </c>
      <c r="E43" s="28" t="s">
        <v>117</v>
      </c>
      <c r="F43" s="28" t="s">
        <v>118</v>
      </c>
      <c r="G43" s="28">
        <v>6650</v>
      </c>
    </row>
    <row r="44" spans="1:7" x14ac:dyDescent="0.2">
      <c r="B44" s="28" t="s">
        <v>119</v>
      </c>
      <c r="C44" s="28" t="s">
        <v>120</v>
      </c>
      <c r="D44" s="30">
        <v>11</v>
      </c>
      <c r="E44" s="28" t="s">
        <v>121</v>
      </c>
      <c r="F44" s="28" t="s">
        <v>118</v>
      </c>
      <c r="G44" s="30">
        <v>0.5</v>
      </c>
    </row>
    <row r="45" spans="1:7" x14ac:dyDescent="0.2">
      <c r="B45" s="34" t="s">
        <v>159</v>
      </c>
      <c r="C45" s="28"/>
      <c r="D45" s="30"/>
      <c r="E45" s="28"/>
      <c r="F45" s="28"/>
      <c r="G45" s="30"/>
    </row>
    <row r="46" spans="1:7" hidden="1" outlineLevel="1" x14ac:dyDescent="0.2">
      <c r="B46" s="28" t="s">
        <v>87</v>
      </c>
      <c r="C46" s="28" t="s">
        <v>88</v>
      </c>
      <c r="D46" s="30">
        <v>0</v>
      </c>
      <c r="E46" s="28" t="s">
        <v>122</v>
      </c>
      <c r="F46" s="28" t="s">
        <v>123</v>
      </c>
      <c r="G46" s="28">
        <v>0</v>
      </c>
    </row>
    <row r="47" spans="1:7" hidden="1" outlineLevel="1" x14ac:dyDescent="0.2">
      <c r="B47" s="28" t="s">
        <v>91</v>
      </c>
      <c r="C47" s="28" t="s">
        <v>92</v>
      </c>
      <c r="D47" s="30">
        <v>9</v>
      </c>
      <c r="E47" s="28" t="s">
        <v>124</v>
      </c>
      <c r="F47" s="28" t="s">
        <v>123</v>
      </c>
      <c r="G47" s="28">
        <v>0</v>
      </c>
    </row>
    <row r="48" spans="1:7" hidden="1" outlineLevel="1" x14ac:dyDescent="0.2">
      <c r="B48" s="28" t="s">
        <v>95</v>
      </c>
      <c r="C48" s="28" t="s">
        <v>96</v>
      </c>
      <c r="D48" s="30">
        <v>6</v>
      </c>
      <c r="E48" s="28" t="s">
        <v>125</v>
      </c>
      <c r="F48" s="28" t="s">
        <v>118</v>
      </c>
      <c r="G48" s="28">
        <v>1</v>
      </c>
    </row>
    <row r="49" spans="2:7" hidden="1" outlineLevel="1" x14ac:dyDescent="0.2">
      <c r="B49" s="28" t="s">
        <v>99</v>
      </c>
      <c r="C49" s="28" t="s">
        <v>100</v>
      </c>
      <c r="D49" s="30">
        <v>0</v>
      </c>
      <c r="E49" s="28" t="s">
        <v>126</v>
      </c>
      <c r="F49" s="28" t="s">
        <v>123</v>
      </c>
      <c r="G49" s="28">
        <v>0</v>
      </c>
    </row>
    <row r="50" spans="2:7" hidden="1" outlineLevel="1" x14ac:dyDescent="0.2">
      <c r="B50" s="28" t="s">
        <v>103</v>
      </c>
      <c r="C50" s="28" t="s">
        <v>104</v>
      </c>
      <c r="D50" s="30">
        <v>2</v>
      </c>
      <c r="E50" s="28" t="s">
        <v>127</v>
      </c>
      <c r="F50" s="28" t="s">
        <v>118</v>
      </c>
      <c r="G50" s="28">
        <v>6</v>
      </c>
    </row>
    <row r="51" spans="2:7" hidden="1" outlineLevel="1" x14ac:dyDescent="0.2">
      <c r="B51" s="28" t="s">
        <v>107</v>
      </c>
      <c r="C51" s="28" t="s">
        <v>108</v>
      </c>
      <c r="D51" s="30">
        <v>7</v>
      </c>
      <c r="E51" s="28" t="s">
        <v>128</v>
      </c>
      <c r="F51" s="28" t="s">
        <v>123</v>
      </c>
      <c r="G51" s="28">
        <v>0</v>
      </c>
    </row>
    <row r="52" spans="2:7" hidden="1" outlineLevel="1" x14ac:dyDescent="0.2">
      <c r="B52" s="28" t="s">
        <v>111</v>
      </c>
      <c r="C52" s="28" t="s">
        <v>112</v>
      </c>
      <c r="D52" s="30">
        <v>0</v>
      </c>
      <c r="E52" s="28" t="s">
        <v>129</v>
      </c>
      <c r="F52" s="28" t="s">
        <v>123</v>
      </c>
      <c r="G52" s="28">
        <v>0</v>
      </c>
    </row>
    <row r="53" spans="2:7" hidden="1" outlineLevel="1" x14ac:dyDescent="0.2">
      <c r="B53" s="28" t="s">
        <v>115</v>
      </c>
      <c r="C53" s="28" t="s">
        <v>116</v>
      </c>
      <c r="D53" s="30">
        <v>0</v>
      </c>
      <c r="E53" s="28" t="s">
        <v>130</v>
      </c>
      <c r="F53" s="28" t="s">
        <v>123</v>
      </c>
      <c r="G53" s="28">
        <v>0</v>
      </c>
    </row>
    <row r="54" spans="2:7" collapsed="1" x14ac:dyDescent="0.2">
      <c r="B54" s="28"/>
      <c r="C54" s="28"/>
      <c r="D54" s="30"/>
      <c r="E54" s="28"/>
      <c r="F54" s="28"/>
      <c r="G54" s="28"/>
    </row>
    <row r="55" spans="2:7" x14ac:dyDescent="0.2">
      <c r="B55" s="34" t="s">
        <v>160</v>
      </c>
      <c r="C55" s="28"/>
      <c r="D55" s="30"/>
      <c r="E55" s="28"/>
      <c r="F55" s="28"/>
      <c r="G55" s="28"/>
    </row>
    <row r="56" spans="2:7" hidden="1" outlineLevel="1" x14ac:dyDescent="0.2">
      <c r="B56" s="28" t="s">
        <v>131</v>
      </c>
      <c r="C56" s="28" t="s">
        <v>132</v>
      </c>
      <c r="D56" s="30">
        <v>11</v>
      </c>
      <c r="E56" s="28" t="s">
        <v>133</v>
      </c>
      <c r="F56" s="28" t="s">
        <v>118</v>
      </c>
      <c r="G56" s="28">
        <v>19</v>
      </c>
    </row>
    <row r="57" spans="2:7" hidden="1" outlineLevel="1" x14ac:dyDescent="0.2">
      <c r="B57" s="28" t="s">
        <v>134</v>
      </c>
      <c r="C57" s="28" t="s">
        <v>135</v>
      </c>
      <c r="D57" s="30">
        <v>18</v>
      </c>
      <c r="E57" s="28" t="s">
        <v>136</v>
      </c>
      <c r="F57" s="28" t="s">
        <v>118</v>
      </c>
      <c r="G57" s="28">
        <v>12</v>
      </c>
    </row>
    <row r="58" spans="2:7" hidden="1" outlineLevel="1" x14ac:dyDescent="0.2">
      <c r="B58" s="28" t="s">
        <v>137</v>
      </c>
      <c r="C58" s="28" t="s">
        <v>138</v>
      </c>
      <c r="D58" s="30">
        <v>13</v>
      </c>
      <c r="E58" s="28" t="s">
        <v>139</v>
      </c>
      <c r="F58" s="28" t="s">
        <v>118</v>
      </c>
      <c r="G58" s="28">
        <v>17</v>
      </c>
    </row>
    <row r="59" spans="2:7" hidden="1" outlineLevel="1" x14ac:dyDescent="0.2">
      <c r="B59" s="28" t="s">
        <v>140</v>
      </c>
      <c r="C59" s="28" t="s">
        <v>141</v>
      </c>
      <c r="D59" s="30">
        <v>13</v>
      </c>
      <c r="E59" s="28" t="s">
        <v>142</v>
      </c>
      <c r="F59" s="28" t="s">
        <v>118</v>
      </c>
      <c r="G59" s="28">
        <v>17</v>
      </c>
    </row>
    <row r="60" spans="2:7" hidden="1" outlineLevel="1" x14ac:dyDescent="0.2">
      <c r="B60" s="28" t="s">
        <v>143</v>
      </c>
      <c r="C60" s="28" t="s">
        <v>144</v>
      </c>
      <c r="D60" s="30">
        <v>17</v>
      </c>
      <c r="E60" s="28" t="s">
        <v>145</v>
      </c>
      <c r="F60" s="28" t="s">
        <v>118</v>
      </c>
      <c r="G60" s="28">
        <v>13</v>
      </c>
    </row>
    <row r="61" spans="2:7" hidden="1" outlineLevel="1" x14ac:dyDescent="0.2">
      <c r="B61" s="28" t="s">
        <v>146</v>
      </c>
      <c r="C61" s="28" t="s">
        <v>147</v>
      </c>
      <c r="D61" s="30">
        <v>7</v>
      </c>
      <c r="E61" s="28" t="s">
        <v>148</v>
      </c>
      <c r="F61" s="28" t="s">
        <v>118</v>
      </c>
      <c r="G61" s="28">
        <v>23</v>
      </c>
    </row>
    <row r="62" spans="2:7" collapsed="1" x14ac:dyDescent="0.2">
      <c r="B62" s="28"/>
      <c r="C62" s="28"/>
      <c r="D62" s="30"/>
      <c r="E62" s="28"/>
      <c r="F62" s="28"/>
      <c r="G62" s="28"/>
    </row>
    <row r="63" spans="2:7" x14ac:dyDescent="0.2">
      <c r="B63" s="34" t="s">
        <v>161</v>
      </c>
      <c r="C63" s="28"/>
      <c r="D63" s="30"/>
      <c r="E63" s="28"/>
      <c r="F63" s="28"/>
      <c r="G63" s="28"/>
    </row>
    <row r="64" spans="2:7" hidden="1" outlineLevel="1" x14ac:dyDescent="0.2">
      <c r="B64" s="28" t="s">
        <v>131</v>
      </c>
      <c r="C64" s="28" t="s">
        <v>132</v>
      </c>
      <c r="D64" s="30">
        <v>11</v>
      </c>
      <c r="E64" s="28" t="s">
        <v>149</v>
      </c>
      <c r="F64" s="28" t="s">
        <v>118</v>
      </c>
      <c r="G64" s="30">
        <v>2</v>
      </c>
    </row>
    <row r="65" spans="2:7" hidden="1" outlineLevel="1" x14ac:dyDescent="0.2">
      <c r="B65" s="28" t="s">
        <v>134</v>
      </c>
      <c r="C65" s="28" t="s">
        <v>135</v>
      </c>
      <c r="D65" s="30">
        <v>18</v>
      </c>
      <c r="E65" s="28" t="s">
        <v>150</v>
      </c>
      <c r="F65" s="28" t="s">
        <v>118</v>
      </c>
      <c r="G65" s="30">
        <v>12</v>
      </c>
    </row>
    <row r="66" spans="2:7" hidden="1" outlineLevel="1" x14ac:dyDescent="0.2">
      <c r="B66" s="28" t="s">
        <v>137</v>
      </c>
      <c r="C66" s="28" t="s">
        <v>138</v>
      </c>
      <c r="D66" s="30">
        <v>13</v>
      </c>
      <c r="E66" s="28" t="s">
        <v>151</v>
      </c>
      <c r="F66" s="28" t="s">
        <v>123</v>
      </c>
      <c r="G66" s="30">
        <v>0</v>
      </c>
    </row>
    <row r="67" spans="2:7" hidden="1" outlineLevel="1" x14ac:dyDescent="0.2">
      <c r="B67" s="28" t="s">
        <v>140</v>
      </c>
      <c r="C67" s="28" t="s">
        <v>141</v>
      </c>
      <c r="D67" s="30">
        <v>13</v>
      </c>
      <c r="E67" s="28" t="s">
        <v>152</v>
      </c>
      <c r="F67" s="28" t="s">
        <v>118</v>
      </c>
      <c r="G67" s="30">
        <v>2</v>
      </c>
    </row>
    <row r="68" spans="2:7" hidden="1" outlineLevel="1" x14ac:dyDescent="0.2">
      <c r="B68" s="28" t="s">
        <v>143</v>
      </c>
      <c r="C68" s="28" t="s">
        <v>144</v>
      </c>
      <c r="D68" s="30">
        <v>17</v>
      </c>
      <c r="E68" s="28" t="s">
        <v>153</v>
      </c>
      <c r="F68" s="28" t="s">
        <v>118</v>
      </c>
      <c r="G68" s="30">
        <v>3</v>
      </c>
    </row>
    <row r="69" spans="2:7" hidden="1" outlineLevel="1" x14ac:dyDescent="0.2">
      <c r="B69" s="28" t="s">
        <v>146</v>
      </c>
      <c r="C69" s="28" t="s">
        <v>147</v>
      </c>
      <c r="D69" s="30">
        <v>7</v>
      </c>
      <c r="E69" s="28" t="s">
        <v>154</v>
      </c>
      <c r="F69" s="28" t="s">
        <v>123</v>
      </c>
      <c r="G69" s="30">
        <v>0</v>
      </c>
    </row>
    <row r="70" spans="2:7" collapsed="1" x14ac:dyDescent="0.2">
      <c r="B70" s="28"/>
      <c r="C70" s="28"/>
      <c r="D70" s="30"/>
      <c r="E70" s="28"/>
      <c r="F70" s="28"/>
      <c r="G70" s="30"/>
    </row>
    <row r="71" spans="2:7" x14ac:dyDescent="0.2">
      <c r="B71" s="28" t="s">
        <v>155</v>
      </c>
      <c r="C71" s="28"/>
      <c r="D71" s="28"/>
      <c r="E71" s="28"/>
      <c r="F71" s="28"/>
      <c r="G71" s="28"/>
    </row>
    <row r="72" spans="2:7" ht="16" thickBot="1" x14ac:dyDescent="0.25">
      <c r="B72" s="25" t="s">
        <v>157</v>
      </c>
      <c r="C72" s="25"/>
      <c r="D72" s="25"/>
      <c r="E72" s="25"/>
      <c r="F72" s="25"/>
      <c r="G72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zoomScale="94" zoomScaleNormal="110" workbookViewId="0">
      <selection activeCell="E27" sqref="E27"/>
    </sheetView>
  </sheetViews>
  <sheetFormatPr baseColWidth="10" defaultColWidth="8.83203125" defaultRowHeight="15" x14ac:dyDescent="0.2"/>
  <cols>
    <col min="1" max="1" width="21.6640625" customWidth="1"/>
    <col min="2" max="2" width="21" customWidth="1"/>
    <col min="3" max="3" width="14.33203125" customWidth="1"/>
    <col min="4" max="4" width="13.1640625" customWidth="1"/>
    <col min="5" max="5" width="11.5" bestFit="1" customWidth="1"/>
    <col min="6" max="6" width="12.33203125" customWidth="1"/>
    <col min="7" max="7" width="12.1640625" customWidth="1"/>
    <col min="8" max="8" width="10.5" customWidth="1"/>
    <col min="9" max="9" width="9.83203125" customWidth="1"/>
    <col min="10" max="10" width="4.33203125" customWidth="1"/>
    <col min="11" max="11" width="9.33203125" bestFit="1" customWidth="1"/>
    <col min="12" max="12" width="19.83203125" bestFit="1" customWidth="1"/>
    <col min="13" max="13" width="7.6640625" bestFit="1" customWidth="1"/>
  </cols>
  <sheetData>
    <row r="1" spans="1:21" x14ac:dyDescent="0.2">
      <c r="A1" s="7" t="s">
        <v>0</v>
      </c>
      <c r="B1" s="23">
        <v>35000</v>
      </c>
    </row>
    <row r="3" spans="1:21" x14ac:dyDescent="0.2">
      <c r="A3" s="8"/>
      <c r="B3" s="8" t="s">
        <v>23</v>
      </c>
      <c r="C3" s="8" t="s">
        <v>25</v>
      </c>
      <c r="D3" s="8" t="s">
        <v>26</v>
      </c>
      <c r="E3" s="8" t="s">
        <v>27</v>
      </c>
      <c r="F3" s="8" t="s">
        <v>54</v>
      </c>
      <c r="G3" s="8" t="s">
        <v>55</v>
      </c>
      <c r="H3" s="8" t="s">
        <v>32</v>
      </c>
      <c r="I3" s="8"/>
      <c r="J3" s="8"/>
      <c r="K3" s="8"/>
      <c r="L3" s="8" t="s">
        <v>24</v>
      </c>
      <c r="M3" s="8" t="s">
        <v>28</v>
      </c>
    </row>
    <row r="4" spans="1:21" ht="48" x14ac:dyDescent="0.2">
      <c r="A4" s="5" t="s">
        <v>1</v>
      </c>
      <c r="B4" s="5" t="s">
        <v>2</v>
      </c>
      <c r="C4" s="5" t="s">
        <v>3</v>
      </c>
      <c r="D4" s="6" t="s">
        <v>4</v>
      </c>
      <c r="E4" s="5" t="s">
        <v>5</v>
      </c>
      <c r="F4" s="6" t="s">
        <v>30</v>
      </c>
      <c r="G4" s="6" t="s">
        <v>29</v>
      </c>
      <c r="H4" s="6" t="s">
        <v>57</v>
      </c>
      <c r="I4" s="18"/>
      <c r="J4" s="18"/>
      <c r="K4" s="1" t="s">
        <v>14</v>
      </c>
      <c r="L4" s="1" t="s">
        <v>15</v>
      </c>
      <c r="M4" s="1" t="s">
        <v>16</v>
      </c>
    </row>
    <row r="5" spans="1:21" x14ac:dyDescent="0.2">
      <c r="A5" s="3" t="s">
        <v>6</v>
      </c>
      <c r="B5" s="2" t="s">
        <v>33</v>
      </c>
      <c r="C5" s="3">
        <v>3200</v>
      </c>
      <c r="D5" s="3">
        <v>600</v>
      </c>
      <c r="E5" s="3">
        <v>6</v>
      </c>
      <c r="F5" s="22">
        <v>0</v>
      </c>
      <c r="G5" s="22">
        <v>0</v>
      </c>
      <c r="H5" s="2">
        <f>E5*F5</f>
        <v>0</v>
      </c>
      <c r="K5" s="3" t="s">
        <v>17</v>
      </c>
      <c r="L5" s="2" t="s">
        <v>41</v>
      </c>
      <c r="M5" s="3">
        <v>9</v>
      </c>
    </row>
    <row r="6" spans="1:21" x14ac:dyDescent="0.2">
      <c r="A6" s="3" t="s">
        <v>7</v>
      </c>
      <c r="B6" s="2" t="s">
        <v>34</v>
      </c>
      <c r="C6" s="3">
        <v>3500</v>
      </c>
      <c r="D6" s="3">
        <v>650</v>
      </c>
      <c r="E6" s="3">
        <v>9</v>
      </c>
      <c r="F6" s="22">
        <v>1</v>
      </c>
      <c r="G6" s="22">
        <v>9</v>
      </c>
      <c r="H6" s="2">
        <f>E6*F6</f>
        <v>9</v>
      </c>
      <c r="K6" s="3" t="s">
        <v>18</v>
      </c>
      <c r="L6" s="2" t="s">
        <v>42</v>
      </c>
      <c r="M6" s="3">
        <v>6</v>
      </c>
    </row>
    <row r="7" spans="1:21" x14ac:dyDescent="0.2">
      <c r="A7" s="3" t="s">
        <v>8</v>
      </c>
      <c r="B7" s="2" t="s">
        <v>35</v>
      </c>
      <c r="C7" s="3">
        <v>2800</v>
      </c>
      <c r="D7" s="3">
        <v>700</v>
      </c>
      <c r="E7" s="3">
        <v>7</v>
      </c>
      <c r="F7" s="22">
        <v>1</v>
      </c>
      <c r="G7" s="22">
        <v>6</v>
      </c>
      <c r="H7" s="2">
        <f t="shared" ref="H7:H12" si="0">E7*F7</f>
        <v>7</v>
      </c>
      <c r="K7" s="3" t="s">
        <v>19</v>
      </c>
      <c r="L7" s="2" t="s">
        <v>43</v>
      </c>
      <c r="M7" s="3">
        <v>13</v>
      </c>
    </row>
    <row r="8" spans="1:21" x14ac:dyDescent="0.2">
      <c r="A8" s="3" t="s">
        <v>9</v>
      </c>
      <c r="B8" s="2" t="s">
        <v>36</v>
      </c>
      <c r="C8" s="3">
        <v>3000</v>
      </c>
      <c r="D8" s="3">
        <v>750</v>
      </c>
      <c r="E8" s="3">
        <v>5</v>
      </c>
      <c r="F8" s="22">
        <v>0</v>
      </c>
      <c r="G8" s="22">
        <v>0</v>
      </c>
      <c r="H8" s="2">
        <f t="shared" si="0"/>
        <v>0</v>
      </c>
      <c r="K8" s="3" t="s">
        <v>20</v>
      </c>
      <c r="L8" s="2" t="s">
        <v>44</v>
      </c>
      <c r="M8" s="3">
        <v>11</v>
      </c>
    </row>
    <row r="9" spans="1:21" x14ac:dyDescent="0.2">
      <c r="A9" s="3" t="s">
        <v>10</v>
      </c>
      <c r="B9" s="2" t="s">
        <v>37</v>
      </c>
      <c r="C9" s="3">
        <v>2900</v>
      </c>
      <c r="D9" s="3">
        <v>720</v>
      </c>
      <c r="E9" s="3">
        <v>8</v>
      </c>
      <c r="F9" s="22">
        <v>1</v>
      </c>
      <c r="G9" s="22">
        <v>2</v>
      </c>
      <c r="H9" s="2">
        <f t="shared" si="0"/>
        <v>8</v>
      </c>
      <c r="K9" s="3" t="s">
        <v>21</v>
      </c>
      <c r="L9" s="2" t="s">
        <v>45</v>
      </c>
      <c r="M9" s="3">
        <v>14</v>
      </c>
    </row>
    <row r="10" spans="1:21" x14ac:dyDescent="0.2">
      <c r="A10" s="3" t="s">
        <v>11</v>
      </c>
      <c r="B10" s="2" t="s">
        <v>38</v>
      </c>
      <c r="C10" s="3">
        <v>3600</v>
      </c>
      <c r="D10" s="3">
        <v>580</v>
      </c>
      <c r="E10" s="3">
        <v>7</v>
      </c>
      <c r="F10" s="22">
        <v>1</v>
      </c>
      <c r="G10" s="22">
        <v>7</v>
      </c>
      <c r="H10" s="2">
        <f t="shared" si="0"/>
        <v>7</v>
      </c>
      <c r="K10" s="3" t="s">
        <v>22</v>
      </c>
      <c r="L10" s="2" t="s">
        <v>46</v>
      </c>
      <c r="M10" s="3">
        <v>7</v>
      </c>
    </row>
    <row r="11" spans="1:21" x14ac:dyDescent="0.2">
      <c r="A11" s="3" t="s">
        <v>12</v>
      </c>
      <c r="B11" s="2" t="s">
        <v>39</v>
      </c>
      <c r="C11" s="3">
        <v>3400</v>
      </c>
      <c r="D11" s="3">
        <v>630</v>
      </c>
      <c r="E11" s="3">
        <v>8</v>
      </c>
      <c r="F11" s="22">
        <v>0</v>
      </c>
      <c r="G11" s="22">
        <v>0</v>
      </c>
      <c r="H11" s="2">
        <f t="shared" si="0"/>
        <v>0</v>
      </c>
    </row>
    <row r="12" spans="1:21" x14ac:dyDescent="0.2">
      <c r="A12" s="3" t="s">
        <v>13</v>
      </c>
      <c r="B12" s="2" t="s">
        <v>40</v>
      </c>
      <c r="C12" s="3">
        <v>3100</v>
      </c>
      <c r="D12" s="3">
        <v>670</v>
      </c>
      <c r="E12" s="3">
        <v>5</v>
      </c>
      <c r="F12" s="22">
        <v>0</v>
      </c>
      <c r="G12" s="22">
        <v>0</v>
      </c>
      <c r="H12" s="2">
        <f t="shared" si="0"/>
        <v>0</v>
      </c>
    </row>
    <row r="13" spans="1:21" x14ac:dyDescent="0.2">
      <c r="F13" s="15"/>
      <c r="G13" s="15"/>
    </row>
    <row r="15" spans="1:21" ht="16" x14ac:dyDescent="0.2">
      <c r="A15" s="11" t="s">
        <v>1</v>
      </c>
      <c r="B15" s="1" t="s">
        <v>6</v>
      </c>
      <c r="C15" s="1" t="s">
        <v>7</v>
      </c>
      <c r="D15" s="4" t="s">
        <v>8</v>
      </c>
      <c r="E15" s="4" t="s">
        <v>9</v>
      </c>
      <c r="F15" s="4" t="s">
        <v>10</v>
      </c>
      <c r="G15" s="4" t="s">
        <v>11</v>
      </c>
      <c r="H15" s="4" t="s">
        <v>12</v>
      </c>
      <c r="I15" s="4" t="s">
        <v>13</v>
      </c>
      <c r="J15" s="17"/>
      <c r="K15" s="21" t="s">
        <v>56</v>
      </c>
      <c r="M15" s="10"/>
      <c r="N15" s="8"/>
      <c r="O15" s="8"/>
      <c r="P15" s="8"/>
      <c r="Q15" s="8"/>
      <c r="R15" s="8"/>
      <c r="S15" s="8"/>
      <c r="T15" s="8"/>
      <c r="U15" s="8"/>
    </row>
    <row r="16" spans="1:21" x14ac:dyDescent="0.2">
      <c r="A16" s="12" t="s">
        <v>47</v>
      </c>
      <c r="B16" s="3">
        <v>0</v>
      </c>
      <c r="C16" s="3">
        <v>1</v>
      </c>
      <c r="D16" s="3">
        <v>0</v>
      </c>
      <c r="E16" s="3">
        <v>1</v>
      </c>
      <c r="F16" s="3">
        <v>1</v>
      </c>
      <c r="G16" s="3">
        <v>0</v>
      </c>
      <c r="H16" s="3">
        <v>1</v>
      </c>
      <c r="I16" s="3">
        <v>0</v>
      </c>
      <c r="K16" s="8">
        <f>B16*G5+C16*G6+D16*G7+E16*G8+F16*G9+G16*G10+H16*G11+I16*G12</f>
        <v>11</v>
      </c>
      <c r="L16" s="8" t="s">
        <v>53</v>
      </c>
      <c r="M16" s="10">
        <v>30</v>
      </c>
      <c r="N16" s="8"/>
      <c r="O16" s="8"/>
      <c r="P16" s="8"/>
      <c r="Q16" s="8"/>
      <c r="R16" s="8"/>
      <c r="S16" s="8"/>
      <c r="T16" s="8"/>
      <c r="U16" s="8"/>
    </row>
    <row r="17" spans="1:21" x14ac:dyDescent="0.2">
      <c r="A17" s="12" t="s">
        <v>48</v>
      </c>
      <c r="B17" s="3">
        <v>1</v>
      </c>
      <c r="C17" s="3">
        <v>1</v>
      </c>
      <c r="D17" s="3">
        <v>0</v>
      </c>
      <c r="E17" s="3">
        <v>0</v>
      </c>
      <c r="F17" s="3">
        <v>1</v>
      </c>
      <c r="G17" s="3">
        <v>1</v>
      </c>
      <c r="H17" s="3">
        <v>0</v>
      </c>
      <c r="I17" s="3">
        <v>0</v>
      </c>
      <c r="K17" s="8">
        <f>B17*G5+C17*G6+D17*G7+E17*G8+F17*G9+G17*G10+H17*G11+I17*G12</f>
        <v>18</v>
      </c>
      <c r="L17" s="8" t="s">
        <v>53</v>
      </c>
      <c r="M17" s="10">
        <v>30</v>
      </c>
      <c r="N17" s="8"/>
      <c r="O17" s="8"/>
      <c r="P17" s="8"/>
      <c r="Q17" s="8"/>
      <c r="R17" s="8"/>
      <c r="S17" s="8"/>
      <c r="T17" s="8"/>
      <c r="U17" s="8"/>
    </row>
    <row r="18" spans="1:21" x14ac:dyDescent="0.2">
      <c r="A18" s="12" t="s">
        <v>49</v>
      </c>
      <c r="B18" s="3">
        <v>1</v>
      </c>
      <c r="C18" s="3">
        <v>0</v>
      </c>
      <c r="D18" s="3">
        <v>1</v>
      </c>
      <c r="E18" s="3">
        <v>1</v>
      </c>
      <c r="F18" s="3">
        <v>0</v>
      </c>
      <c r="G18" s="3">
        <v>1</v>
      </c>
      <c r="H18" s="3">
        <v>1</v>
      </c>
      <c r="I18" s="3">
        <v>1</v>
      </c>
      <c r="K18" s="8">
        <f>B18*G5+C18*G6+D18*G7+E18*G8+F18*G9+G18*G10+H18*G11+I18*G12</f>
        <v>13</v>
      </c>
      <c r="L18" s="8" t="s">
        <v>53</v>
      </c>
      <c r="M18" s="10">
        <v>30</v>
      </c>
      <c r="N18" s="8"/>
      <c r="O18" s="8"/>
      <c r="P18" s="8"/>
      <c r="Q18" s="8"/>
      <c r="R18" s="8"/>
      <c r="S18" s="8"/>
      <c r="T18" s="8"/>
      <c r="U18" s="8"/>
    </row>
    <row r="19" spans="1:21" x14ac:dyDescent="0.2">
      <c r="A19" s="12" t="s">
        <v>50</v>
      </c>
      <c r="B19" s="3">
        <v>0</v>
      </c>
      <c r="C19" s="3">
        <v>0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K19" s="8">
        <f>B19*G5+C19*G6+D19*G7+E19*G8+F19*G9+G19*G10+H19*G11+I19*G12</f>
        <v>13</v>
      </c>
      <c r="L19" s="8" t="s">
        <v>53</v>
      </c>
      <c r="M19" s="10">
        <v>30</v>
      </c>
      <c r="N19" s="8"/>
      <c r="O19" s="8"/>
      <c r="P19" s="8"/>
      <c r="Q19" s="8"/>
      <c r="R19" s="8"/>
      <c r="S19" s="8"/>
      <c r="T19" s="8"/>
      <c r="U19" s="8"/>
    </row>
    <row r="20" spans="1:21" x14ac:dyDescent="0.2">
      <c r="A20" s="12" t="s">
        <v>51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0</v>
      </c>
      <c r="H20" s="3">
        <v>1</v>
      </c>
      <c r="I20" s="3">
        <v>1</v>
      </c>
      <c r="K20" s="8">
        <f>B20*G5+C20*G6+D20*G7+E20*G8+F20*G9+G20*G10+H20*G11+I20*G12</f>
        <v>17</v>
      </c>
      <c r="L20" s="8" t="s">
        <v>53</v>
      </c>
      <c r="M20" s="10">
        <v>30</v>
      </c>
      <c r="N20" s="8"/>
      <c r="O20" s="8"/>
      <c r="P20" s="8"/>
      <c r="Q20" s="8"/>
      <c r="R20" s="8"/>
      <c r="S20" s="8"/>
      <c r="T20" s="8"/>
      <c r="U20" s="8"/>
    </row>
    <row r="21" spans="1:21" x14ac:dyDescent="0.2">
      <c r="A21" s="12" t="s">
        <v>52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  <c r="H21" s="3">
        <v>1</v>
      </c>
      <c r="I21" s="3">
        <v>1</v>
      </c>
      <c r="K21" s="8">
        <f>B21*G5+C21*G6+D21*G7+E21*G8+F21*G9+G21*G10+H21*G11+I21*G12</f>
        <v>7</v>
      </c>
      <c r="L21" s="8" t="s">
        <v>53</v>
      </c>
      <c r="M21" s="10">
        <v>30</v>
      </c>
      <c r="N21" s="8"/>
      <c r="O21" s="8"/>
      <c r="P21" s="8"/>
      <c r="Q21" s="8"/>
      <c r="R21" s="8"/>
      <c r="S21" s="8"/>
      <c r="T21" s="8"/>
      <c r="U21" s="8"/>
    </row>
    <row r="22" spans="1:21" x14ac:dyDescent="0.2">
      <c r="A22" s="9"/>
      <c r="B22" s="8"/>
      <c r="C22" s="8"/>
      <c r="D22" s="8"/>
      <c r="E22" s="8"/>
      <c r="F22" s="8"/>
      <c r="G22" s="8"/>
      <c r="H22" s="8"/>
      <c r="I22" s="8"/>
      <c r="K22" s="8"/>
    </row>
    <row r="23" spans="1:21" x14ac:dyDescent="0.2">
      <c r="A23" s="9"/>
      <c r="B23" s="8"/>
      <c r="C23" s="8"/>
      <c r="D23" s="8"/>
      <c r="E23" s="8"/>
      <c r="F23" s="8"/>
      <c r="G23" s="8"/>
      <c r="H23" s="8"/>
      <c r="I23" s="8"/>
    </row>
    <row r="24" spans="1:21" x14ac:dyDescent="0.2">
      <c r="B24" s="8"/>
      <c r="C24" s="8"/>
      <c r="D24" s="8"/>
      <c r="E24" s="8"/>
      <c r="F24" s="8"/>
      <c r="G24" s="8"/>
      <c r="H24" s="8"/>
      <c r="I24" s="8"/>
    </row>
    <row r="25" spans="1:21" x14ac:dyDescent="0.2">
      <c r="B25" s="8"/>
      <c r="C25" s="8"/>
      <c r="D25" s="8"/>
      <c r="E25" s="8"/>
      <c r="F25" s="8"/>
      <c r="G25" s="8"/>
      <c r="H25" s="8"/>
      <c r="I25" s="8"/>
    </row>
    <row r="26" spans="1:21" x14ac:dyDescent="0.2">
      <c r="A26" s="8"/>
    </row>
    <row r="27" spans="1:21" x14ac:dyDescent="0.2">
      <c r="A27" s="8"/>
      <c r="C27" s="20" t="s">
        <v>59</v>
      </c>
      <c r="D27">
        <f>G6+G9</f>
        <v>11</v>
      </c>
    </row>
    <row r="28" spans="1:21" ht="16" x14ac:dyDescent="0.2">
      <c r="A28" s="14" t="s">
        <v>60</v>
      </c>
      <c r="B28" s="19">
        <f>SUMPRODUCT(C5:C12,F5:F12)+SUMPRODUCT(D5:D12,G5:G12)</f>
        <v>28350</v>
      </c>
      <c r="D28" s="20" t="s">
        <v>31</v>
      </c>
    </row>
    <row r="29" spans="1:21" x14ac:dyDescent="0.2">
      <c r="A29" s="13"/>
      <c r="C29" s="20" t="s">
        <v>58</v>
      </c>
      <c r="D29">
        <f>0.7*(9+6)</f>
        <v>10.5</v>
      </c>
    </row>
    <row r="30" spans="1:21" x14ac:dyDescent="0.2">
      <c r="G30" s="8"/>
    </row>
    <row r="35" spans="1:1" x14ac:dyDescent="0.2">
      <c r="A3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DE45-9008-4056-94E3-DCEE6CA35093}">
  <dimension ref="A8:B15"/>
  <sheetViews>
    <sheetView workbookViewId="0"/>
  </sheetViews>
  <sheetFormatPr baseColWidth="10" defaultColWidth="8.83203125" defaultRowHeight="15" x14ac:dyDescent="0.2"/>
  <sheetData>
    <row r="8" spans="1:2" x14ac:dyDescent="0.2">
      <c r="A8" s="16"/>
      <c r="B8" s="16"/>
    </row>
    <row r="15" spans="1:2" x14ac:dyDescent="0.2">
      <c r="B1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 Report 1</vt:lpstr>
      <vt:lpstr>General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Vinit Vijaykumar Adke (Student)</cp:lastModifiedBy>
  <dcterms:created xsi:type="dcterms:W3CDTF">2025-04-25T16:22:29Z</dcterms:created>
  <dcterms:modified xsi:type="dcterms:W3CDTF">2025-05-03T19:21:47Z</dcterms:modified>
</cp:coreProperties>
</file>